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sternresearchgroup-my.sharepoint.com/personal/paige_weiler_erg_com/Documents/Documents/"/>
    </mc:Choice>
  </mc:AlternateContent>
  <xr:revisionPtr revIDLastSave="1" documentId="8_{4128BF39-646D-4F0C-9F30-EEA71A1EC3E1}" xr6:coauthVersionLast="47" xr6:coauthVersionMax="47" xr10:uidLastSave="{EEB23754-F59F-41A5-A865-A52A3849DEAA}"/>
  <bookViews>
    <workbookView xWindow="-28908" yWindow="-108" windowWidth="29016" windowHeight="15696" xr2:uid="{E5EA417D-D286-4E57-8996-8D8CDACD9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0" i="1" l="1"/>
  <c r="H83" i="1"/>
  <c r="H84" i="1"/>
  <c r="H82" i="1"/>
  <c r="H81" i="1"/>
  <c r="H80" i="1"/>
  <c r="J65" i="1"/>
  <c r="J50" i="1"/>
  <c r="J35" i="1"/>
  <c r="J20" i="1"/>
  <c r="J5" i="1"/>
  <c r="H67" i="1"/>
  <c r="H66" i="1"/>
  <c r="H65" i="1"/>
  <c r="H52" i="1"/>
  <c r="H51" i="1"/>
  <c r="H50" i="1"/>
  <c r="H37" i="1"/>
  <c r="H36" i="1"/>
  <c r="H35" i="1"/>
  <c r="H22" i="1"/>
  <c r="H21" i="1"/>
  <c r="H20" i="1"/>
  <c r="H6" i="1"/>
  <c r="H7" i="1"/>
  <c r="H8" i="1"/>
  <c r="H5" i="1"/>
</calcChain>
</file>

<file path=xl/sharedStrings.xml><?xml version="1.0" encoding="utf-8"?>
<sst xmlns="http://schemas.openxmlformats.org/spreadsheetml/2006/main" count="191" uniqueCount="44">
  <si>
    <t>Mixed MSW</t>
  </si>
  <si>
    <t>Contribution [%]</t>
  </si>
  <si>
    <t>Process</t>
  </si>
  <si>
    <t>Required amount</t>
  </si>
  <si>
    <t>Unit</t>
  </si>
  <si>
    <t>Total result [MTCO2E]</t>
  </si>
  <si>
    <t>Direct contribution [MTCO2E]</t>
  </si>
  <si>
    <t>MSW landfilling of Mixed MSW; National average LFG recovery, typical collection, National average conditions</t>
  </si>
  <si>
    <t>kg</t>
  </si>
  <si>
    <t>Landfill operation, diesel</t>
  </si>
  <si>
    <t>MJ</t>
  </si>
  <si>
    <t>Transport of MSW, by truck</t>
  </si>
  <si>
    <t>t*km</t>
  </si>
  <si>
    <t>Electricity generation, at grid, National</t>
  </si>
  <si>
    <t>WARM original</t>
  </si>
  <si>
    <t>WARM USLCI</t>
  </si>
  <si>
    <t>Total result [kg CO2 eq]</t>
  </si>
  <si>
    <t>Direct contribution [kg CO2 eq]</t>
  </si>
  <si>
    <t>MSW landfilling of Mixed MSW - US</t>
  </si>
  <si>
    <t>Diesel, combusted in industrial equipment - RNA</t>
  </si>
  <si>
    <t>m3</t>
  </si>
  <si>
    <t>Transport, combination truck, short-haul, diesel powered - US</t>
  </si>
  <si>
    <t>Electricity; at user; consumption mix - US - US - US</t>
  </si>
  <si>
    <t>Total kg CO2 eq</t>
  </si>
  <si>
    <t>Asphalt</t>
  </si>
  <si>
    <t>MSW landfilling of Asphalt Concrete</t>
  </si>
  <si>
    <t>MSW landfilling of Asphalt Concrete - US</t>
  </si>
  <si>
    <t>MSW landfilling of Concrete</t>
  </si>
  <si>
    <t>Concrete</t>
  </si>
  <si>
    <t>MSW landfilling of Concrete - US</t>
  </si>
  <si>
    <t>Glass</t>
  </si>
  <si>
    <t>MSW landfilling of Glass</t>
  </si>
  <si>
    <t>MSW landfilling of Glass - US</t>
  </si>
  <si>
    <t>Structural Steel</t>
  </si>
  <si>
    <t>MSW landfilling of Structural Steel</t>
  </si>
  <si>
    <t>MSW landfilling of Structural Steel - US</t>
  </si>
  <si>
    <t>% diff</t>
  </si>
  <si>
    <t>LANDFILL</t>
  </si>
  <si>
    <t>COMBUSTION</t>
  </si>
  <si>
    <t>MSW combustion of Mixed MSW</t>
  </si>
  <si>
    <t>Transport of ash to landfill</t>
  </si>
  <si>
    <t>Steel recycling - US</t>
  </si>
  <si>
    <t>MSW combustion of Mixed MSW - US</t>
  </si>
  <si>
    <t>due to difference in ash landfill transport EF ( I believe this is an error in WARM). Used 60 miles and short haul truck as stated in documentation.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</si>
</sst>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24E5-B601-43C4-B2E8-182D89EDB634}">
  <dimension ref="A3:L90"/>
  <sheetViews>
    <sheetView tabSelected="1" topLeftCell="A55" workbookViewId="0">
      <selection activeCell="F78" sqref="F78"/>
    </sheetView>
  </sheetViews>
  <sheetFormatPr defaultRowHeight="14.4" x14ac:dyDescent="0.3"/>
  <cols>
    <col min="1" max="1" width="14.109375" bestFit="1" customWidth="1"/>
    <col min="2" max="2" width="14" bestFit="1" customWidth="1"/>
    <col min="3" max="3" width="89" bestFit="1" customWidth="1"/>
    <col min="4" max="4" width="14.77734375" bestFit="1" customWidth="1"/>
    <col min="5" max="5" width="5" bestFit="1" customWidth="1"/>
    <col min="6" max="6" width="19.44140625" bestFit="1" customWidth="1"/>
    <col min="7" max="7" width="25.77734375" bestFit="1" customWidth="1"/>
  </cols>
  <sheetData>
    <row r="3" spans="1:10" x14ac:dyDescent="0.3">
      <c r="A3" s="3" t="s">
        <v>0</v>
      </c>
      <c r="B3" s="3" t="s">
        <v>37</v>
      </c>
    </row>
    <row r="4" spans="1:10" x14ac:dyDescent="0.3">
      <c r="A4" s="2" t="s">
        <v>14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23</v>
      </c>
      <c r="J4" t="s">
        <v>36</v>
      </c>
    </row>
    <row r="5" spans="1:10" x14ac:dyDescent="0.3">
      <c r="A5" s="2"/>
      <c r="B5" s="1">
        <v>100</v>
      </c>
      <c r="C5" t="s">
        <v>7</v>
      </c>
      <c r="D5">
        <v>907.18</v>
      </c>
      <c r="E5" t="s">
        <v>8</v>
      </c>
      <c r="F5">
        <v>0.30920331125256201</v>
      </c>
      <c r="G5">
        <v>0.35578530150308402</v>
      </c>
      <c r="H5">
        <f>F5*1000</f>
        <v>309.203311252562</v>
      </c>
      <c r="J5" s="4">
        <f>(F12-H5)/H5</f>
        <v>9.2103952648670245E-2</v>
      </c>
    </row>
    <row r="6" spans="1:10" x14ac:dyDescent="0.3">
      <c r="A6" s="2"/>
      <c r="B6">
        <v>5.49</v>
      </c>
      <c r="C6" t="s">
        <v>9</v>
      </c>
      <c r="D6">
        <v>244.648</v>
      </c>
      <c r="E6" t="s">
        <v>10</v>
      </c>
      <c r="F6">
        <v>1.6970431966621301E-2</v>
      </c>
      <c r="G6">
        <v>1.6970431966621301E-2</v>
      </c>
      <c r="H6">
        <f t="shared" ref="H6:H8" si="0">F6*1000</f>
        <v>16.970431966621302</v>
      </c>
    </row>
    <row r="7" spans="1:10" x14ac:dyDescent="0.3">
      <c r="A7" s="2"/>
      <c r="B7">
        <v>1.06</v>
      </c>
      <c r="C7" t="s">
        <v>11</v>
      </c>
      <c r="D7">
        <v>29.199293798399999</v>
      </c>
      <c r="E7" t="s">
        <v>12</v>
      </c>
      <c r="F7">
        <v>3.28407999999999E-3</v>
      </c>
      <c r="G7">
        <v>3.28408E-3</v>
      </c>
      <c r="H7">
        <f t="shared" si="0"/>
        <v>3.2840799999999901</v>
      </c>
    </row>
    <row r="8" spans="1:10" x14ac:dyDescent="0.3">
      <c r="A8" s="2"/>
      <c r="B8" s="1">
        <v>-21.6</v>
      </c>
      <c r="C8" t="s">
        <v>13</v>
      </c>
      <c r="D8">
        <v>-331.087661297507</v>
      </c>
      <c r="E8" t="s">
        <v>10</v>
      </c>
      <c r="F8">
        <v>-6.6836502217143101E-2</v>
      </c>
      <c r="G8">
        <v>-6.6836502217143101E-2</v>
      </c>
      <c r="H8">
        <f t="shared" si="0"/>
        <v>-66.836502217143106</v>
      </c>
    </row>
    <row r="9" spans="1:10" ht="14.4" customHeight="1" x14ac:dyDescent="0.3"/>
    <row r="11" spans="1:10" x14ac:dyDescent="0.3">
      <c r="A11" s="2" t="s">
        <v>15</v>
      </c>
      <c r="B11" t="s">
        <v>1</v>
      </c>
      <c r="C11" t="s">
        <v>2</v>
      </c>
      <c r="D11" t="s">
        <v>3</v>
      </c>
      <c r="E11" t="s">
        <v>4</v>
      </c>
      <c r="F11" t="s">
        <v>16</v>
      </c>
      <c r="G11" t="s">
        <v>17</v>
      </c>
    </row>
    <row r="12" spans="1:10" x14ac:dyDescent="0.3">
      <c r="A12" s="2"/>
      <c r="B12" s="1">
        <v>100</v>
      </c>
      <c r="C12" t="s">
        <v>18</v>
      </c>
      <c r="D12">
        <v>907.18</v>
      </c>
      <c r="E12" t="s">
        <v>8</v>
      </c>
      <c r="F12">
        <v>337.68215839098002</v>
      </c>
      <c r="G12">
        <v>355.78530150308399</v>
      </c>
    </row>
    <row r="13" spans="1:10" x14ac:dyDescent="0.3">
      <c r="A13" s="2"/>
      <c r="B13">
        <v>6.64</v>
      </c>
      <c r="C13" t="s">
        <v>19</v>
      </c>
      <c r="D13">
        <v>6.59096697853388E-3</v>
      </c>
      <c r="E13" t="s">
        <v>20</v>
      </c>
      <c r="F13">
        <v>22.416169821368399</v>
      </c>
      <c r="G13">
        <v>17.957448002527599</v>
      </c>
    </row>
    <row r="14" spans="1:10" x14ac:dyDescent="0.3">
      <c r="A14" s="2"/>
      <c r="B14">
        <v>0.77</v>
      </c>
      <c r="C14" t="s">
        <v>21</v>
      </c>
      <c r="D14">
        <v>29.1994547328</v>
      </c>
      <c r="E14" t="s">
        <v>12</v>
      </c>
      <c r="F14">
        <v>2.61037303315634</v>
      </c>
      <c r="G14">
        <v>2.1051793744296399</v>
      </c>
    </row>
    <row r="15" spans="1:10" x14ac:dyDescent="0.3">
      <c r="A15" s="2"/>
      <c r="B15" s="1">
        <v>-12.8</v>
      </c>
      <c r="C15" t="s">
        <v>22</v>
      </c>
      <c r="D15">
        <v>-331.087661297507</v>
      </c>
      <c r="E15" t="s">
        <v>10</v>
      </c>
      <c r="F15">
        <v>-43.129685966629097</v>
      </c>
      <c r="G15">
        <v>0</v>
      </c>
    </row>
    <row r="18" spans="1:10" x14ac:dyDescent="0.3">
      <c r="A18" s="3" t="s">
        <v>24</v>
      </c>
      <c r="B18" s="3" t="s">
        <v>37</v>
      </c>
    </row>
    <row r="19" spans="1:10" x14ac:dyDescent="0.3">
      <c r="A19" s="2" t="s">
        <v>14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23</v>
      </c>
      <c r="J19" t="s">
        <v>36</v>
      </c>
    </row>
    <row r="20" spans="1:10" x14ac:dyDescent="0.3">
      <c r="A20" s="2"/>
      <c r="B20" s="1">
        <v>100</v>
      </c>
      <c r="C20" t="s">
        <v>25</v>
      </c>
      <c r="D20">
        <v>907.18</v>
      </c>
      <c r="E20" t="s">
        <v>8</v>
      </c>
      <c r="F20">
        <v>2.02545119666213E-2</v>
      </c>
      <c r="G20">
        <v>0</v>
      </c>
      <c r="H20">
        <f>F20*1000</f>
        <v>20.254511966621301</v>
      </c>
      <c r="J20" s="4">
        <f>(F27-H20)/H20</f>
        <v>0.23560335078759395</v>
      </c>
    </row>
    <row r="21" spans="1:10" x14ac:dyDescent="0.3">
      <c r="A21" s="2"/>
      <c r="B21" s="1">
        <v>83.8</v>
      </c>
      <c r="C21" t="s">
        <v>9</v>
      </c>
      <c r="D21">
        <v>244.648</v>
      </c>
      <c r="E21" t="s">
        <v>10</v>
      </c>
      <c r="F21">
        <v>1.6970431966621301E-2</v>
      </c>
      <c r="G21">
        <v>1.6970431966621301E-2</v>
      </c>
      <c r="H21">
        <f t="shared" ref="H21:H23" si="1">F21*1000</f>
        <v>16.970431966621302</v>
      </c>
    </row>
    <row r="22" spans="1:10" x14ac:dyDescent="0.3">
      <c r="A22" s="2"/>
      <c r="B22" s="1">
        <v>16.2</v>
      </c>
      <c r="C22" t="s">
        <v>11</v>
      </c>
      <c r="D22">
        <v>29.199293798399999</v>
      </c>
      <c r="E22" t="s">
        <v>12</v>
      </c>
      <c r="F22">
        <v>3.28408E-3</v>
      </c>
      <c r="G22">
        <v>3.28408E-3</v>
      </c>
      <c r="H22">
        <f t="shared" si="1"/>
        <v>3.2840799999999999</v>
      </c>
    </row>
    <row r="23" spans="1:10" x14ac:dyDescent="0.3">
      <c r="A23" s="2"/>
    </row>
    <row r="26" spans="1:10" x14ac:dyDescent="0.3">
      <c r="A26" s="2" t="s">
        <v>15</v>
      </c>
      <c r="B26" t="s">
        <v>1</v>
      </c>
      <c r="C26" t="s">
        <v>2</v>
      </c>
      <c r="D26" t="s">
        <v>3</v>
      </c>
      <c r="E26" t="s">
        <v>4</v>
      </c>
      <c r="F26" t="s">
        <v>16</v>
      </c>
      <c r="G26" t="s">
        <v>17</v>
      </c>
    </row>
    <row r="27" spans="1:10" x14ac:dyDescent="0.3">
      <c r="A27" s="2"/>
      <c r="B27" s="1">
        <v>100</v>
      </c>
      <c r="C27" t="s">
        <v>26</v>
      </c>
      <c r="D27">
        <v>907.18</v>
      </c>
      <c r="E27" t="s">
        <v>8</v>
      </c>
      <c r="F27">
        <v>25.026542854524699</v>
      </c>
      <c r="G27">
        <v>0</v>
      </c>
    </row>
    <row r="28" spans="1:10" x14ac:dyDescent="0.3">
      <c r="A28" s="2"/>
      <c r="B28" s="1">
        <v>89.6</v>
      </c>
      <c r="C28" t="s">
        <v>19</v>
      </c>
      <c r="D28">
        <v>6.59096697853388E-3</v>
      </c>
      <c r="E28" t="s">
        <v>20</v>
      </c>
      <c r="F28">
        <v>22.416169821368399</v>
      </c>
      <c r="G28">
        <v>17.957448002527599</v>
      </c>
    </row>
    <row r="29" spans="1:10" x14ac:dyDescent="0.3">
      <c r="A29" s="2"/>
      <c r="B29" s="1">
        <v>10.4</v>
      </c>
      <c r="C29" t="s">
        <v>21</v>
      </c>
      <c r="D29">
        <v>29.1994547328</v>
      </c>
      <c r="E29" t="s">
        <v>12</v>
      </c>
      <c r="F29">
        <v>2.61037303315634</v>
      </c>
      <c r="G29">
        <v>2.1051793744296399</v>
      </c>
    </row>
    <row r="30" spans="1:10" x14ac:dyDescent="0.3">
      <c r="A30" s="2"/>
    </row>
    <row r="33" spans="1:10" x14ac:dyDescent="0.3">
      <c r="A33" s="3" t="s">
        <v>28</v>
      </c>
      <c r="B33" s="3" t="s">
        <v>37</v>
      </c>
    </row>
    <row r="34" spans="1:10" x14ac:dyDescent="0.3">
      <c r="A34" s="2" t="s">
        <v>14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23</v>
      </c>
      <c r="J34" t="s">
        <v>36</v>
      </c>
    </row>
    <row r="35" spans="1:10" x14ac:dyDescent="0.3">
      <c r="A35" s="2"/>
      <c r="B35" s="1">
        <v>100</v>
      </c>
      <c r="C35" t="s">
        <v>27</v>
      </c>
      <c r="D35">
        <v>907.18</v>
      </c>
      <c r="E35" t="s">
        <v>8</v>
      </c>
      <c r="F35">
        <v>2.02545119666213E-2</v>
      </c>
      <c r="G35">
        <v>0</v>
      </c>
      <c r="H35">
        <f>F35*1000</f>
        <v>20.254511966621301</v>
      </c>
      <c r="J35" s="4">
        <f>(F42-H35)/H35</f>
        <v>0.23560335078759395</v>
      </c>
    </row>
    <row r="36" spans="1:10" x14ac:dyDescent="0.3">
      <c r="A36" s="2"/>
      <c r="B36" s="1">
        <v>83.8</v>
      </c>
      <c r="C36" t="s">
        <v>9</v>
      </c>
      <c r="D36">
        <v>244.648</v>
      </c>
      <c r="E36" t="s">
        <v>10</v>
      </c>
      <c r="F36">
        <v>1.6970431966621301E-2</v>
      </c>
      <c r="G36">
        <v>1.6970431966621301E-2</v>
      </c>
      <c r="H36">
        <f t="shared" ref="H36:H37" si="2">F36*1000</f>
        <v>16.970431966621302</v>
      </c>
    </row>
    <row r="37" spans="1:10" x14ac:dyDescent="0.3">
      <c r="A37" s="2"/>
      <c r="B37" s="1">
        <v>16.2</v>
      </c>
      <c r="C37" t="s">
        <v>11</v>
      </c>
      <c r="D37">
        <v>29.199293798399999</v>
      </c>
      <c r="E37" t="s">
        <v>12</v>
      </c>
      <c r="F37">
        <v>3.28408E-3</v>
      </c>
      <c r="G37">
        <v>3.28408E-3</v>
      </c>
      <c r="H37">
        <f t="shared" si="2"/>
        <v>3.2840799999999999</v>
      </c>
    </row>
    <row r="38" spans="1:10" x14ac:dyDescent="0.3">
      <c r="A38" s="2"/>
    </row>
    <row r="41" spans="1:10" x14ac:dyDescent="0.3">
      <c r="A41" s="2" t="s">
        <v>15</v>
      </c>
      <c r="B41" t="s">
        <v>1</v>
      </c>
      <c r="C41" t="s">
        <v>2</v>
      </c>
      <c r="D41" t="s">
        <v>3</v>
      </c>
      <c r="E41" t="s">
        <v>4</v>
      </c>
      <c r="F41" t="s">
        <v>16</v>
      </c>
      <c r="G41" t="s">
        <v>17</v>
      </c>
    </row>
    <row r="42" spans="1:10" x14ac:dyDescent="0.3">
      <c r="A42" s="2"/>
      <c r="B42" s="1">
        <v>100</v>
      </c>
      <c r="C42" t="s">
        <v>29</v>
      </c>
      <c r="D42">
        <v>907.18</v>
      </c>
      <c r="E42" t="s">
        <v>8</v>
      </c>
      <c r="F42">
        <v>25.026542854524699</v>
      </c>
      <c r="G42">
        <v>0</v>
      </c>
    </row>
    <row r="43" spans="1:10" x14ac:dyDescent="0.3">
      <c r="A43" s="2"/>
      <c r="B43" s="1">
        <v>89.6</v>
      </c>
      <c r="C43" t="s">
        <v>19</v>
      </c>
      <c r="D43">
        <v>6.59096697853388E-3</v>
      </c>
      <c r="E43" t="s">
        <v>20</v>
      </c>
      <c r="F43">
        <v>22.416169821368399</v>
      </c>
      <c r="G43">
        <v>17.957448002527599</v>
      </c>
    </row>
    <row r="44" spans="1:10" x14ac:dyDescent="0.3">
      <c r="A44" s="2"/>
      <c r="B44" s="1">
        <v>10.4</v>
      </c>
      <c r="C44" t="s">
        <v>21</v>
      </c>
      <c r="D44">
        <v>29.1994547328</v>
      </c>
      <c r="E44" t="s">
        <v>12</v>
      </c>
      <c r="F44">
        <v>2.61037303315634</v>
      </c>
      <c r="G44">
        <v>2.1051793744296399</v>
      </c>
    </row>
    <row r="45" spans="1:10" x14ac:dyDescent="0.3">
      <c r="A45" s="2"/>
    </row>
    <row r="48" spans="1:10" x14ac:dyDescent="0.3">
      <c r="A48" s="3" t="s">
        <v>30</v>
      </c>
      <c r="B48" s="3" t="s">
        <v>37</v>
      </c>
    </row>
    <row r="49" spans="1:10" x14ac:dyDescent="0.3">
      <c r="A49" s="2" t="s">
        <v>14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23</v>
      </c>
      <c r="J49" t="s">
        <v>36</v>
      </c>
    </row>
    <row r="50" spans="1:10" x14ac:dyDescent="0.3">
      <c r="A50" s="2"/>
      <c r="B50" s="1">
        <v>100</v>
      </c>
      <c r="C50" t="s">
        <v>31</v>
      </c>
      <c r="D50">
        <v>907.18</v>
      </c>
      <c r="E50" t="s">
        <v>8</v>
      </c>
      <c r="F50">
        <v>2.02545119666213E-2</v>
      </c>
      <c r="G50">
        <v>0</v>
      </c>
      <c r="H50">
        <f>F50*1000</f>
        <v>20.254511966621301</v>
      </c>
      <c r="J50" s="4">
        <f>(F57-H50)/H50</f>
        <v>0.23560335078759886</v>
      </c>
    </row>
    <row r="51" spans="1:10" x14ac:dyDescent="0.3">
      <c r="A51" s="2"/>
      <c r="B51" s="1">
        <v>83.8</v>
      </c>
      <c r="C51" t="s">
        <v>9</v>
      </c>
      <c r="D51">
        <v>244.648</v>
      </c>
      <c r="E51" t="s">
        <v>10</v>
      </c>
      <c r="F51">
        <v>1.6970431966621301E-2</v>
      </c>
      <c r="G51">
        <v>1.6970431966621301E-2</v>
      </c>
      <c r="H51">
        <f t="shared" ref="H51:H52" si="3">F51*1000</f>
        <v>16.970431966621302</v>
      </c>
    </row>
    <row r="52" spans="1:10" x14ac:dyDescent="0.3">
      <c r="A52" s="2"/>
      <c r="B52" s="1">
        <v>16.2</v>
      </c>
      <c r="C52" t="s">
        <v>11</v>
      </c>
      <c r="D52">
        <v>29.199293798399999</v>
      </c>
      <c r="E52" t="s">
        <v>12</v>
      </c>
      <c r="F52">
        <v>3.28408E-3</v>
      </c>
      <c r="G52">
        <v>3.28408E-3</v>
      </c>
      <c r="H52">
        <f t="shared" si="3"/>
        <v>3.2840799999999999</v>
      </c>
    </row>
    <row r="53" spans="1:10" x14ac:dyDescent="0.3">
      <c r="A53" s="2"/>
    </row>
    <row r="56" spans="1:10" x14ac:dyDescent="0.3">
      <c r="A56" s="2" t="s">
        <v>15</v>
      </c>
      <c r="B56" t="s">
        <v>1</v>
      </c>
      <c r="C56" t="s">
        <v>2</v>
      </c>
      <c r="D56" t="s">
        <v>3</v>
      </c>
      <c r="E56" t="s">
        <v>4</v>
      </c>
      <c r="F56" t="s">
        <v>16</v>
      </c>
      <c r="G56" t="s">
        <v>17</v>
      </c>
    </row>
    <row r="57" spans="1:10" x14ac:dyDescent="0.3">
      <c r="A57" s="2"/>
      <c r="B57" s="1">
        <v>100</v>
      </c>
      <c r="C57" t="s">
        <v>32</v>
      </c>
      <c r="D57">
        <v>907.18</v>
      </c>
      <c r="E57" t="s">
        <v>8</v>
      </c>
      <c r="F57">
        <v>25.026542854524799</v>
      </c>
      <c r="G57">
        <v>0</v>
      </c>
    </row>
    <row r="58" spans="1:10" x14ac:dyDescent="0.3">
      <c r="A58" s="2"/>
      <c r="B58" s="1">
        <v>89.6</v>
      </c>
      <c r="C58" t="s">
        <v>19</v>
      </c>
      <c r="D58">
        <v>6.59096697853388E-3</v>
      </c>
      <c r="E58" t="s">
        <v>20</v>
      </c>
      <c r="F58">
        <v>22.416169821368399</v>
      </c>
      <c r="G58">
        <v>17.957448002527599</v>
      </c>
    </row>
    <row r="59" spans="1:10" x14ac:dyDescent="0.3">
      <c r="A59" s="2"/>
      <c r="B59" s="1">
        <v>10.4</v>
      </c>
      <c r="C59" t="s">
        <v>21</v>
      </c>
      <c r="D59">
        <v>29.1994547328</v>
      </c>
      <c r="E59" t="s">
        <v>12</v>
      </c>
      <c r="F59">
        <v>2.6103730331563502</v>
      </c>
      <c r="G59">
        <v>2.1051793744296399</v>
      </c>
    </row>
    <row r="60" spans="1:10" x14ac:dyDescent="0.3">
      <c r="A60" s="2"/>
    </row>
    <row r="63" spans="1:10" x14ac:dyDescent="0.3">
      <c r="A63" s="3" t="s">
        <v>33</v>
      </c>
      <c r="B63" s="3" t="s">
        <v>37</v>
      </c>
    </row>
    <row r="64" spans="1:10" x14ac:dyDescent="0.3">
      <c r="A64" s="2" t="s">
        <v>14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23</v>
      </c>
      <c r="J64" t="s">
        <v>36</v>
      </c>
    </row>
    <row r="65" spans="1:12" x14ac:dyDescent="0.3">
      <c r="A65" s="2"/>
      <c r="B65" s="1">
        <v>100</v>
      </c>
      <c r="C65" t="s">
        <v>34</v>
      </c>
      <c r="D65">
        <v>907.18</v>
      </c>
      <c r="E65" t="s">
        <v>8</v>
      </c>
      <c r="F65">
        <v>2.02545119666213E-2</v>
      </c>
      <c r="G65">
        <v>0</v>
      </c>
      <c r="H65">
        <f>F65*1000</f>
        <v>20.254511966621301</v>
      </c>
      <c r="J65" s="4">
        <f>(F72-H65)/H65</f>
        <v>0.23560335078759395</v>
      </c>
    </row>
    <row r="66" spans="1:12" x14ac:dyDescent="0.3">
      <c r="A66" s="2"/>
      <c r="B66" s="1">
        <v>83.8</v>
      </c>
      <c r="C66" t="s">
        <v>9</v>
      </c>
      <c r="D66">
        <v>244.648</v>
      </c>
      <c r="E66" t="s">
        <v>10</v>
      </c>
      <c r="F66">
        <v>1.6970431966621301E-2</v>
      </c>
      <c r="G66">
        <v>1.6970431966621301E-2</v>
      </c>
      <c r="H66">
        <f t="shared" ref="H66:H67" si="4">F66*1000</f>
        <v>16.970431966621302</v>
      </c>
    </row>
    <row r="67" spans="1:12" x14ac:dyDescent="0.3">
      <c r="A67" s="2"/>
      <c r="B67" s="1">
        <v>16.2</v>
      </c>
      <c r="C67" t="s">
        <v>11</v>
      </c>
      <c r="D67">
        <v>29.199293798399999</v>
      </c>
      <c r="E67" t="s">
        <v>12</v>
      </c>
      <c r="F67">
        <v>3.28408E-3</v>
      </c>
      <c r="G67">
        <v>3.28408E-3</v>
      </c>
      <c r="H67">
        <f t="shared" si="4"/>
        <v>3.2840799999999999</v>
      </c>
    </row>
    <row r="68" spans="1:12" x14ac:dyDescent="0.3">
      <c r="A68" s="2"/>
    </row>
    <row r="71" spans="1:12" x14ac:dyDescent="0.3">
      <c r="A71" s="2" t="s">
        <v>15</v>
      </c>
      <c r="B71" t="s">
        <v>1</v>
      </c>
      <c r="C71" t="s">
        <v>2</v>
      </c>
      <c r="D71" t="s">
        <v>3</v>
      </c>
      <c r="E71" t="s">
        <v>4</v>
      </c>
      <c r="F71" t="s">
        <v>16</v>
      </c>
      <c r="G71" t="s">
        <v>17</v>
      </c>
    </row>
    <row r="72" spans="1:12" x14ac:dyDescent="0.3">
      <c r="A72" s="2"/>
      <c r="B72" s="1">
        <v>100</v>
      </c>
      <c r="C72" t="s">
        <v>35</v>
      </c>
      <c r="D72">
        <v>907.18</v>
      </c>
      <c r="E72" t="s">
        <v>8</v>
      </c>
      <c r="F72">
        <v>25.026542854524699</v>
      </c>
      <c r="G72">
        <v>0</v>
      </c>
    </row>
    <row r="73" spans="1:12" x14ac:dyDescent="0.3">
      <c r="A73" s="2"/>
      <c r="B73" s="1">
        <v>89.6</v>
      </c>
      <c r="C73" t="s">
        <v>19</v>
      </c>
      <c r="D73">
        <v>6.59096697853388E-3</v>
      </c>
      <c r="E73" t="s">
        <v>20</v>
      </c>
      <c r="F73">
        <v>22.416169821368399</v>
      </c>
      <c r="G73">
        <v>17.957448002527599</v>
      </c>
    </row>
    <row r="74" spans="1:12" x14ac:dyDescent="0.3">
      <c r="A74" s="2"/>
      <c r="B74" s="1">
        <v>10.4</v>
      </c>
      <c r="C74" t="s">
        <v>21</v>
      </c>
      <c r="D74">
        <v>29.1994547328</v>
      </c>
      <c r="E74" t="s">
        <v>12</v>
      </c>
      <c r="F74">
        <v>2.61037303315634</v>
      </c>
      <c r="G74">
        <v>2.1051793744296399</v>
      </c>
    </row>
    <row r="75" spans="1:12" x14ac:dyDescent="0.3">
      <c r="A75" s="2"/>
    </row>
    <row r="78" spans="1:12" x14ac:dyDescent="0.3">
      <c r="A78" s="3" t="s">
        <v>0</v>
      </c>
      <c r="B78" s="3" t="s">
        <v>38</v>
      </c>
    </row>
    <row r="79" spans="1:12" x14ac:dyDescent="0.3">
      <c r="A79" s="2" t="s">
        <v>14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23</v>
      </c>
      <c r="J79" t="s">
        <v>36</v>
      </c>
    </row>
    <row r="80" spans="1:12" x14ac:dyDescent="0.3">
      <c r="A80" s="2"/>
      <c r="B80" s="1">
        <v>100</v>
      </c>
      <c r="C80" t="s">
        <v>39</v>
      </c>
      <c r="D80">
        <v>907.18</v>
      </c>
      <c r="E80" t="s">
        <v>8</v>
      </c>
      <c r="F80">
        <v>0.543273262620518</v>
      </c>
      <c r="G80">
        <v>0.41827488515092598</v>
      </c>
      <c r="H80">
        <f>F80*1000</f>
        <v>543.27326262051804</v>
      </c>
      <c r="J80" s="4">
        <f>(F87-H80)/H80</f>
        <v>-0.65058539657217129</v>
      </c>
      <c r="L80" t="s">
        <v>43</v>
      </c>
    </row>
    <row r="81" spans="1:8" x14ac:dyDescent="0.3">
      <c r="A81" s="2"/>
      <c r="B81" s="1">
        <v>99.4</v>
      </c>
      <c r="C81" t="s">
        <v>40</v>
      </c>
      <c r="D81">
        <v>54430.799999999901</v>
      </c>
      <c r="E81" t="s">
        <v>8</v>
      </c>
      <c r="F81">
        <v>0.53996063171999897</v>
      </c>
      <c r="G81">
        <v>0.53996063171999897</v>
      </c>
      <c r="H81">
        <f t="shared" ref="H81:H85" si="5">F81*1000</f>
        <v>539.96063171999901</v>
      </c>
    </row>
    <row r="82" spans="1:8" x14ac:dyDescent="0.3">
      <c r="A82" s="2"/>
      <c r="B82" s="1">
        <v>0.6</v>
      </c>
      <c r="C82" t="s">
        <v>11</v>
      </c>
      <c r="D82">
        <v>29.199293798399999</v>
      </c>
      <c r="E82" t="s">
        <v>12</v>
      </c>
      <c r="F82">
        <v>3.28408E-3</v>
      </c>
      <c r="G82">
        <v>3.28408E-3</v>
      </c>
      <c r="H82">
        <f t="shared" si="5"/>
        <v>3.2840799999999999</v>
      </c>
    </row>
    <row r="83" spans="1:8" x14ac:dyDescent="0.3">
      <c r="A83" s="2"/>
      <c r="B83">
        <v>-7.09</v>
      </c>
      <c r="C83" t="s">
        <v>41</v>
      </c>
      <c r="D83">
        <v>19.0786142389037</v>
      </c>
      <c r="E83" t="s">
        <v>8</v>
      </c>
      <c r="F83">
        <v>-3.8529795803275597E-2</v>
      </c>
      <c r="G83">
        <v>0</v>
      </c>
      <c r="H83">
        <f t="shared" si="5"/>
        <v>-38.529795803275597</v>
      </c>
    </row>
    <row r="84" spans="1:8" x14ac:dyDescent="0.3">
      <c r="B84" s="1">
        <v>-69.900000000000006</v>
      </c>
      <c r="C84" t="s">
        <v>13</v>
      </c>
      <c r="D84">
        <v>-1880.99999999999</v>
      </c>
      <c r="E84" t="s">
        <v>10</v>
      </c>
      <c r="F84">
        <v>-0.37971653844713199</v>
      </c>
      <c r="G84">
        <v>-0.37971653844713199</v>
      </c>
      <c r="H84">
        <f t="shared" si="5"/>
        <v>-379.716538447132</v>
      </c>
    </row>
    <row r="86" spans="1:8" x14ac:dyDescent="0.3">
      <c r="A86" s="2" t="s">
        <v>15</v>
      </c>
      <c r="B86" t="s">
        <v>1</v>
      </c>
      <c r="C86" t="s">
        <v>2</v>
      </c>
      <c r="D86" t="s">
        <v>3</v>
      </c>
      <c r="E86" t="s">
        <v>4</v>
      </c>
      <c r="F86" t="s">
        <v>16</v>
      </c>
      <c r="G86" t="s">
        <v>17</v>
      </c>
    </row>
    <row r="87" spans="1:8" x14ac:dyDescent="0.3">
      <c r="A87" s="2"/>
      <c r="B87" s="1">
        <v>100</v>
      </c>
      <c r="C87" t="s">
        <v>42</v>
      </c>
      <c r="D87">
        <v>907.18</v>
      </c>
      <c r="E87" t="s">
        <v>8</v>
      </c>
      <c r="F87">
        <v>189.82761161149099</v>
      </c>
      <c r="G87">
        <v>418.27488515092602</v>
      </c>
    </row>
    <row r="88" spans="1:8" x14ac:dyDescent="0.3">
      <c r="A88" s="2"/>
      <c r="B88" s="1">
        <v>5.5</v>
      </c>
      <c r="C88" t="s">
        <v>21</v>
      </c>
      <c r="D88">
        <v>116.7978189312</v>
      </c>
      <c r="E88" t="s">
        <v>12</v>
      </c>
      <c r="F88">
        <v>10.441492132625299</v>
      </c>
      <c r="G88">
        <v>8.4207174977185897</v>
      </c>
    </row>
    <row r="89" spans="1:8" x14ac:dyDescent="0.3">
      <c r="A89" s="2"/>
      <c r="B89" s="1">
        <v>3.24</v>
      </c>
      <c r="C89" t="s">
        <v>41</v>
      </c>
      <c r="D89">
        <v>19.0786142389037</v>
      </c>
      <c r="E89" t="s">
        <v>8</v>
      </c>
      <c r="F89">
        <v>6.1428340719434003</v>
      </c>
      <c r="G89">
        <v>0</v>
      </c>
    </row>
    <row r="90" spans="1:8" x14ac:dyDescent="0.3">
      <c r="A90" s="2"/>
      <c r="B90" s="1">
        <v>-129</v>
      </c>
      <c r="C90" t="s">
        <v>22</v>
      </c>
      <c r="D90">
        <v>-1880.99999999999</v>
      </c>
      <c r="E90" t="s">
        <v>10</v>
      </c>
      <c r="F90">
        <v>-245.03159974400401</v>
      </c>
      <c r="G90">
        <v>0</v>
      </c>
    </row>
  </sheetData>
  <mergeCells count="12">
    <mergeCell ref="A86:A90"/>
    <mergeCell ref="A41:A45"/>
    <mergeCell ref="A49:A53"/>
    <mergeCell ref="A56:A60"/>
    <mergeCell ref="A64:A68"/>
    <mergeCell ref="A71:A75"/>
    <mergeCell ref="A79:A83"/>
    <mergeCell ref="A4:A8"/>
    <mergeCell ref="A11:A15"/>
    <mergeCell ref="A19:A23"/>
    <mergeCell ref="A26:A30"/>
    <mergeCell ref="A34:A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 Weiler</dc:creator>
  <cp:lastModifiedBy>Paige Weiler</cp:lastModifiedBy>
  <dcterms:created xsi:type="dcterms:W3CDTF">2025-09-12T16:03:53Z</dcterms:created>
  <dcterms:modified xsi:type="dcterms:W3CDTF">2025-09-12T18:30:40Z</dcterms:modified>
</cp:coreProperties>
</file>